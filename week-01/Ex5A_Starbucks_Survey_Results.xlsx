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Analytics/week-01/"/>
    </mc:Choice>
  </mc:AlternateContent>
  <xr:revisionPtr revIDLastSave="0" documentId="8_{AC673807-E976-6242-804F-398F54D9144F}" xr6:coauthVersionLast="47" xr6:coauthVersionMax="47" xr10:uidLastSave="{00000000-0000-0000-0000-000000000000}"/>
  <bookViews>
    <workbookView xWindow="12760" yWindow="740" windowWidth="16640" windowHeight="17240" xr2:uid="{EBF4DD28-934B-3C49-8F02-D74785095C69}"/>
  </bookViews>
  <sheets>
    <sheet name="Survey Data" sheetId="1" r:id="rId1"/>
    <sheet name="Pivot Chart" sheetId="3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J26" i="1"/>
  <c r="J24" i="1"/>
  <c r="H24" i="1"/>
  <c r="M24" i="1"/>
  <c r="D2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<sst xmlns="http://schemas.openxmlformats.org/spreadsheetml/2006/main" count="211" uniqueCount="120">
  <si>
    <t>Start time</t>
  </si>
  <si>
    <t>Completion time</t>
  </si>
  <si>
    <t>Id</t>
  </si>
  <si>
    <t>Email</t>
  </si>
  <si>
    <t>Name</t>
  </si>
  <si>
    <t>How often do you visit Starbucks?</t>
  </si>
  <si>
    <t>How would you rate your overall Starbucks experience today?</t>
  </si>
  <si>
    <t>Gender</t>
  </si>
  <si>
    <t>Would you join a Starbucks rewards program?</t>
  </si>
  <si>
    <t>What reward would you prefer most?</t>
  </si>
  <si>
    <t>What is your favorite Starbucks drink or item?</t>
  </si>
  <si>
    <t>How satisfied are you with the pricing and value for money at Starbucks?</t>
  </si>
  <si>
    <t>How would you rate the customer service? (1–5 stars)</t>
  </si>
  <si>
    <t>Additional Comments</t>
  </si>
  <si>
    <t>fbaslar@my.yearupunited.org</t>
  </si>
  <si>
    <t>fuat baslar</t>
  </si>
  <si>
    <t>Daily</t>
  </si>
  <si>
    <t>Excellent</t>
  </si>
  <si>
    <t>Coffee (hot or iced)</t>
  </si>
  <si>
    <t>Yes</t>
  </si>
  <si>
    <t>Birthday reward</t>
  </si>
  <si>
    <t>machiato</t>
  </si>
  <si>
    <t>ccelik@my.yearupunited.org</t>
  </si>
  <si>
    <t>cagla celik</t>
  </si>
  <si>
    <t>Weekly</t>
  </si>
  <si>
    <t>Good</t>
  </si>
  <si>
    <t>Free drink after points</t>
  </si>
  <si>
    <t>Unsweetened iced matcha with soy milk and 2 pumps of mocha syrup with a shot of blonde espresso in it. Large.</t>
  </si>
  <si>
    <t>more sugar free syrup options</t>
  </si>
  <si>
    <t>jalmarazflores@my.yearupunited.org</t>
  </si>
  <si>
    <t>julissa almarazflores</t>
  </si>
  <si>
    <t>Monthly</t>
  </si>
  <si>
    <t>Poor</t>
  </si>
  <si>
    <t>Cold brew</t>
  </si>
  <si>
    <t>Better pricing</t>
  </si>
  <si>
    <t>cugur@my.yearupunited.org</t>
  </si>
  <si>
    <t>ceyhun ugur</t>
  </si>
  <si>
    <t>Average</t>
  </si>
  <si>
    <t>Maybe</t>
  </si>
  <si>
    <t>macchiato</t>
  </si>
  <si>
    <t>asago@my.yearupunited.org</t>
  </si>
  <si>
    <t>antwaushea sago</t>
  </si>
  <si>
    <t>Frappuccino / blended drinks</t>
  </si>
  <si>
    <t>Cake pops</t>
  </si>
  <si>
    <t xml:space="preserve">Hire more staff so wait time isn't that long </t>
  </si>
  <si>
    <t>kmarsh1@my.yearupunited.org</t>
  </si>
  <si>
    <t>kiersten marsh</t>
  </si>
  <si>
    <t>Tea</t>
  </si>
  <si>
    <t>Iced Chai with Oat Milk</t>
  </si>
  <si>
    <t>Make cheaper drinks</t>
  </si>
  <si>
    <t>ktesema@my.yearupunited.org</t>
  </si>
  <si>
    <t>kidus tesema</t>
  </si>
  <si>
    <t>Discounts</t>
  </si>
  <si>
    <t>iced latte</t>
  </si>
  <si>
    <t>tarista@my.yearupunited.org</t>
  </si>
  <si>
    <t>tracy arista</t>
  </si>
  <si>
    <t>iced oat milk matcha with strawberry puree 2 pumps of vanilla and cold foam on top</t>
  </si>
  <si>
    <t xml:space="preserve">stop charging extra for add ons like cold foam </t>
  </si>
  <si>
    <t>msaeday@my.yearupunited.org</t>
  </si>
  <si>
    <t>mina saeday</t>
  </si>
  <si>
    <t>okaraer@my.yearupunited.org</t>
  </si>
  <si>
    <t>onur karaer</t>
  </si>
  <si>
    <t>More seating area would be great</t>
  </si>
  <si>
    <t>plopez@my.yearupunited.org</t>
  </si>
  <si>
    <t>paul lopez</t>
  </si>
  <si>
    <t>Never</t>
  </si>
  <si>
    <t>No</t>
  </si>
  <si>
    <t>the coffee with the thing</t>
  </si>
  <si>
    <t>make everything cheaper</t>
  </si>
  <si>
    <t>wpoindexter@my.yearupunited.org</t>
  </si>
  <si>
    <t>william poindexter</t>
  </si>
  <si>
    <t xml:space="preserve">Vanilla Matcha </t>
  </si>
  <si>
    <t>gmutize@my.yearupunited.org</t>
  </si>
  <si>
    <t>godknows mutize</t>
  </si>
  <si>
    <t>Latte</t>
  </si>
  <si>
    <t>Speed of Service</t>
  </si>
  <si>
    <t>arollins@my.yearupunited.org</t>
  </si>
  <si>
    <t>ariel rollins</t>
  </si>
  <si>
    <t>Food (sandwiches, snacks, pastries)</t>
  </si>
  <si>
    <t>Egg &amp; Turkey Bacon Sandwich</t>
  </si>
  <si>
    <t>lpham1@my.yearupunited.org</t>
  </si>
  <si>
    <t>longley pham</t>
  </si>
  <si>
    <t>pmartinez@my.yearupunited.org</t>
  </si>
  <si>
    <t>paola martinez</t>
  </si>
  <si>
    <t xml:space="preserve">Matcha Frap </t>
  </si>
  <si>
    <t>more lounge areas, daily specials, and affordable mixed drinks options</t>
  </si>
  <si>
    <t>ssimsek@my.yearupunited.org</t>
  </si>
  <si>
    <t>sultan simsek</t>
  </si>
  <si>
    <t>Exclusive offers</t>
  </si>
  <si>
    <t>Iced lavender latte</t>
  </si>
  <si>
    <t>Prices are too high maybe some customizations would be cheaper</t>
  </si>
  <si>
    <t>mruiz3@my.yearupunited.org</t>
  </si>
  <si>
    <t>maritza ruiz</t>
  </si>
  <si>
    <t>Macchiato</t>
  </si>
  <si>
    <t>Lower prices</t>
  </si>
  <si>
    <t>jnavarroservin@my.yearupunited.org</t>
  </si>
  <si>
    <t>jessica navarroservin</t>
  </si>
  <si>
    <t>Strawberry Acai Lemonade</t>
  </si>
  <si>
    <t>More rewards</t>
  </si>
  <si>
    <t>rmengesha@my.yearupunited.org</t>
  </si>
  <si>
    <t xml:space="preserve">Blonde roast brew </t>
  </si>
  <si>
    <t xml:space="preserve">wait time </t>
  </si>
  <si>
    <t>aosorio@my.yearupunited.org</t>
  </si>
  <si>
    <t>angel osorio</t>
  </si>
  <si>
    <t xml:space="preserve">Iced Mocha Frappuccino </t>
  </si>
  <si>
    <t>Better employee engagement</t>
  </si>
  <si>
    <t>sbowens@my.yearupunited.org</t>
  </si>
  <si>
    <t>shaquan bowens</t>
  </si>
  <si>
    <t>Iced Caramel Macchiato</t>
  </si>
  <si>
    <t>Price could be lowered a little</t>
  </si>
  <si>
    <t>rmengesha</t>
  </si>
  <si>
    <t>Time to Complete</t>
  </si>
  <si>
    <t>COUNTIF</t>
  </si>
  <si>
    <t>COUNITF, "Yes"</t>
  </si>
  <si>
    <t>COUNTIF(J2:J23,"Maybe")</t>
  </si>
  <si>
    <t>Row Labels</t>
  </si>
  <si>
    <t>Grand Total</t>
  </si>
  <si>
    <t>Count of Name</t>
  </si>
  <si>
    <t>(blank)</t>
  </si>
  <si>
    <t>Sum of How satisfied are you with the pricing and value for money at Starbucks?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</si>
</sst>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mm/dd/yyyy\ hh:mm:ss"/>
    <numFmt numFmtId="165" formatCode="mm/dd/yyyy\ hh:mm:ss\ "/>
  </numFmts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3" borderId="0" xfId="0" applyFont="1" applyFill="1"/>
    <xf numFmtId="0" fontId="2" fillId="0" borderId="0" xfId="0" applyFont="1"/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164" fontId="2" fillId="3" borderId="0" xfId="0" applyNumberFormat="1" applyFont="1" applyFill="1"/>
    <xf numFmtId="164" fontId="2" fillId="0" borderId="0" xfId="0" applyNumberFormat="1" applyFont="1"/>
    <xf numFmtId="165" fontId="2" fillId="3" borderId="0" xfId="0" applyNumberFormat="1" applyFont="1" applyFill="1"/>
    <xf numFmtId="165" fontId="2" fillId="0" borderId="0" xfId="0" applyNumberFormat="1" applyFont="1"/>
    <xf numFmtId="164" fontId="2" fillId="4" borderId="0" xfId="0" applyNumberFormat="1" applyFont="1" applyFill="1"/>
    <xf numFmtId="45" fontId="0" fillId="0" borderId="0" xfId="0" applyNumberFormat="1"/>
    <xf numFmtId="45" fontId="1" fillId="2" borderId="0" xfId="0" applyNumberFormat="1" applyFont="1" applyFill="1"/>
    <xf numFmtId="45" fontId="2" fillId="3" borderId="0" xfId="0" applyNumberFormat="1" applyFont="1" applyFill="1"/>
    <xf numFmtId="45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[Ex5A_Starbucks_Survey_Results.xlsx]Pivot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Chart'!$B$3</c:f>
              <c:strCache>
                <c:ptCount val="1"/>
                <c:pt idx="0">
                  <c:v>Sum of How satisfied are you with the pricing and value for money at Starbucks?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C0-B44B-98EE-35AA9237187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C0-B44B-98EE-35AA9237187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C0-B44B-98EE-35AA9237187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C0-B44B-98EE-35AA9237187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C0-B44B-98EE-35AA92371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Chart'!$A$4:$A$9</c:f>
              <c:strCach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(blank)</c:v>
                </c:pt>
              </c:strCache>
            </c:strRef>
          </c:cat>
          <c:val>
            <c:numRef>
              <c:f>'Pivot Chart'!$B$4:$B$9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A-EC4A-A7AA-9D77A5A43C75}"/>
            </c:ext>
          </c:extLst>
        </c:ser>
        <c:ser>
          <c:idx val="1"/>
          <c:order val="1"/>
          <c:tx>
            <c:strRef>
              <c:f>'Pivot Chart'!$C$3</c:f>
              <c:strCache>
                <c:ptCount val="1"/>
                <c:pt idx="0">
                  <c:v>Count of Name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C0-B44B-98EE-35AA9237187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2C0-B44B-98EE-35AA9237187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2C0-B44B-98EE-35AA9237187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2C0-B44B-98EE-35AA9237187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2C0-B44B-98EE-35AA92371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Chart'!$A$4:$A$9</c:f>
              <c:strCach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(blank)</c:v>
                </c:pt>
              </c:strCache>
            </c:strRef>
          </c:cat>
          <c:val>
            <c:numRef>
              <c:f>'Pivot Chart'!$C$4:$C$9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F0A-EC4A-A7AA-9D77A5A43C7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1238250</xdr:colOff>
      <xdr:row>12</xdr:row>
      <xdr:rowOff>152400</xdr:rowOff>
    </xdr:from>
    <xdr:to>
      <xdr:col>3</xdr:col>
      <xdr:colOff>895350</xdr:colOff>
      <xdr:row>32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F1C57-86A7-7D2E-5D9C-CBA9F6A9F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24.857575000002" createdVersion="8" refreshedVersion="8" minRefreshableVersion="3" recordCount="22" xr:uid="{C87C19F4-7B95-574B-83F6-57CE4CFC89E2}">
  <cacheSource type="worksheet">
    <worksheetSource ref="A1:O23" sheet="Survey Data"/>
  </cacheSource>
  <cacheFields count="15">
    <cacheField name="Id" numFmtId="0">
      <sharedItems containsSemiMixedTypes="0" containsString="0" containsNumber="1" containsInteger="1" minValue="1" maxValue="22"/>
    </cacheField>
    <cacheField name="Start time" numFmtId="164">
      <sharedItems containsSemiMixedTypes="0" containsNonDate="0" containsDate="1" containsString="0" minDate="2026-04-09T13:32:12" maxDate="2026-04-10T14:50:57"/>
    </cacheField>
    <cacheField name="Completion time" numFmtId="165">
      <sharedItems containsSemiMixedTypes="0" containsNonDate="0" containsDate="1" containsString="0" minDate="2026-04-09T13:33:54" maxDate="2026-04-10T14:54:54"/>
    </cacheField>
    <cacheField name="Time to Complete" numFmtId="45">
      <sharedItems containsSemiMixedTypes="0" containsNonDate="0" containsDate="1" containsString="0" minDate="1899-12-30T00:00:19" maxDate="1899-12-30T03:24:18"/>
    </cacheField>
    <cacheField name="Email" numFmtId="0">
      <sharedItems/>
    </cacheField>
    <cacheField name="Name" numFmtId="0">
      <sharedItems count="22">
        <s v="fuat baslar"/>
        <s v="cagla celik"/>
        <s v="julissa almarazflores"/>
        <s v="ceyhun ugur"/>
        <s v="antwaushea sago"/>
        <s v="kiersten marsh"/>
        <s v="kidus tesema"/>
        <s v="tracy arista"/>
        <s v="mina saeday"/>
        <s v="onur karaer"/>
        <s v="paul lopez"/>
        <s v="william poindexter"/>
        <s v="godknows mutize"/>
        <s v="ariel rollins"/>
        <s v="longley pham"/>
        <s v="paola martinez"/>
        <s v="sultan simsek"/>
        <s v="maritza ruiz"/>
        <s v="jessica navarroservin"/>
        <s v="rmengesha"/>
        <s v="angel osorio"/>
        <s v="shaquan bowens"/>
      </sharedItems>
    </cacheField>
    <cacheField name="How often do you visit Starbucks?" numFmtId="0">
      <sharedItems count="4">
        <s v="Daily"/>
        <s v="Weekly"/>
        <s v="Monthly"/>
        <s v="Never"/>
      </sharedItems>
    </cacheField>
    <cacheField name="How would you rate your overall Starbucks experience today?" numFmtId="0">
      <sharedItems count="4">
        <s v="Excellent"/>
        <s v="Good"/>
        <s v="Poor"/>
        <s v="Average"/>
      </sharedItems>
    </cacheField>
    <cacheField name="Gender" numFmtId="0">
      <sharedItems count="4">
        <s v="Coffee (hot or iced)"/>
        <s v="Frappuccino / blended drinks"/>
        <s v="Tea"/>
        <s v="Food (sandwiches, snacks, pastries)"/>
      </sharedItems>
    </cacheField>
    <cacheField name="Would you join a Starbucks rewards program?" numFmtId="0">
      <sharedItems containsBlank="1" count="4">
        <s v="Yes"/>
        <s v="Maybe"/>
        <s v="No"/>
        <m/>
      </sharedItems>
    </cacheField>
    <cacheField name="What reward would you prefer most?" numFmtId="0">
      <sharedItems containsBlank="1" count="5">
        <s v="Birthday reward"/>
        <s v="Free drink after points"/>
        <s v="Discounts"/>
        <m/>
        <s v="Exclusive offers"/>
      </sharedItems>
    </cacheField>
    <cacheField name="What is your favorite Starbucks drink or item?" numFmtId="0">
      <sharedItems containsBlank="1"/>
    </cacheField>
    <cacheField name="How satisfied are you with the pricing and value for money at Starbucks?" numFmtId="0">
      <sharedItems containsString="0" containsBlank="1" containsNumber="1" containsInteger="1" minValue="2" maxValue="5"/>
    </cacheField>
    <cacheField name="How would you rate the customer service? (1–5 stars)" numFmtId="0">
      <sharedItems containsString="0" containsBlank="1" containsNumber="1" containsInteger="1" minValue="2" maxValue="5" count="5">
        <n v="5"/>
        <n v="4"/>
        <n v="3"/>
        <m/>
        <n v="2"/>
      </sharedItems>
    </cacheField>
    <cacheField name="Additional 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1"/>
    <d v="2026-04-09T13:33:35"/>
    <d v="2026-04-09T13:33:54"/>
    <d v="1899-12-30T00:00:19"/>
    <s v="fbaslar@my.yearupunited.org"/>
    <x v="0"/>
    <x v="0"/>
    <x v="0"/>
    <x v="0"/>
    <x v="0"/>
    <x v="0"/>
    <s v="machiato"/>
    <n v="5"/>
    <x v="0"/>
    <m/>
  </r>
  <r>
    <n v="2"/>
    <d v="2026-04-09T13:32:12"/>
    <d v="2026-04-09T13:34:32"/>
    <d v="1899-12-30T00:02:20"/>
    <s v="ccelik@my.yearupunited.org"/>
    <x v="1"/>
    <x v="1"/>
    <x v="1"/>
    <x v="0"/>
    <x v="0"/>
    <x v="1"/>
    <s v="Unsweetened iced matcha with soy milk and 2 pumps of mocha syrup with a shot of blonde espresso in it. Large."/>
    <n v="2"/>
    <x v="1"/>
    <s v="more sugar free syrup options"/>
  </r>
  <r>
    <n v="3"/>
    <d v="2026-04-09T13:34:08"/>
    <d v="2026-04-09T13:35:03"/>
    <d v="1899-12-30T00:00:55"/>
    <s v="jalmarazflores@my.yearupunited.org"/>
    <x v="2"/>
    <x v="2"/>
    <x v="2"/>
    <x v="0"/>
    <x v="0"/>
    <x v="1"/>
    <s v="Cold brew"/>
    <n v="2"/>
    <x v="2"/>
    <s v="Better pricing"/>
  </r>
  <r>
    <n v="4"/>
    <d v="2026-04-09T13:38:48"/>
    <d v="2026-04-09T13:39:16"/>
    <d v="1899-12-30T00:00:28"/>
    <s v="cugur@my.yearupunited.org"/>
    <x v="3"/>
    <x v="1"/>
    <x v="3"/>
    <x v="0"/>
    <x v="1"/>
    <x v="1"/>
    <s v="macchiato"/>
    <n v="4"/>
    <x v="0"/>
    <m/>
  </r>
  <r>
    <n v="5"/>
    <d v="2026-04-09T13:39:57"/>
    <d v="2026-04-09T13:41:12"/>
    <d v="1899-12-30T00:01:15"/>
    <s v="asago@my.yearupunited.org"/>
    <x v="4"/>
    <x v="0"/>
    <x v="1"/>
    <x v="1"/>
    <x v="0"/>
    <x v="1"/>
    <s v="Cake pops"/>
    <n v="3"/>
    <x v="2"/>
    <s v="Hire more staff so wait time isn't that long "/>
  </r>
  <r>
    <n v="6"/>
    <d v="2026-04-09T13:34:46"/>
    <d v="2026-04-09T13:41:35"/>
    <d v="1899-12-30T00:06:49"/>
    <s v="kmarsh1@my.yearupunited.org"/>
    <x v="5"/>
    <x v="1"/>
    <x v="0"/>
    <x v="2"/>
    <x v="0"/>
    <x v="1"/>
    <s v="Iced Chai with Oat Milk"/>
    <n v="3"/>
    <x v="0"/>
    <s v="Make cheaper drinks"/>
  </r>
  <r>
    <n v="7"/>
    <d v="2026-04-09T13:44:37"/>
    <d v="2026-04-09T13:45:31"/>
    <d v="1899-12-30T00:00:54"/>
    <s v="ktesema@my.yearupunited.org"/>
    <x v="6"/>
    <x v="1"/>
    <x v="3"/>
    <x v="0"/>
    <x v="0"/>
    <x v="2"/>
    <s v="iced latte"/>
    <n v="5"/>
    <x v="1"/>
    <m/>
  </r>
  <r>
    <n v="8"/>
    <d v="2026-04-09T13:43:01"/>
    <d v="2026-04-09T13:46:35"/>
    <d v="1899-12-30T00:03:34"/>
    <s v="tarista@my.yearupunited.org"/>
    <x v="7"/>
    <x v="2"/>
    <x v="1"/>
    <x v="1"/>
    <x v="1"/>
    <x v="1"/>
    <s v="iced oat milk matcha with strawberry puree 2 pumps of vanilla and cold foam on top"/>
    <n v="2"/>
    <x v="1"/>
    <s v="stop charging extra for add ons like cold foam "/>
  </r>
  <r>
    <n v="9"/>
    <d v="2026-04-09T13:47:02"/>
    <d v="2026-04-09T13:47:23"/>
    <d v="1899-12-30T00:00:21"/>
    <s v="msaeday@my.yearupunited.org"/>
    <x v="8"/>
    <x v="0"/>
    <x v="0"/>
    <x v="0"/>
    <x v="0"/>
    <x v="1"/>
    <m/>
    <n v="5"/>
    <x v="0"/>
    <m/>
  </r>
  <r>
    <n v="10"/>
    <d v="2026-04-09T13:51:41"/>
    <d v="2026-04-09T13:52:48"/>
    <d v="1899-12-30T00:01:07"/>
    <s v="okaraer@my.yearupunited.org"/>
    <x v="9"/>
    <x v="1"/>
    <x v="3"/>
    <x v="0"/>
    <x v="1"/>
    <x v="1"/>
    <s v="Cold brew"/>
    <n v="4"/>
    <x v="1"/>
    <s v="More seating area would be great"/>
  </r>
  <r>
    <n v="11"/>
    <d v="2026-04-09T13:53:05"/>
    <d v="2026-04-09T13:56:58"/>
    <d v="1899-12-30T00:03:53"/>
    <s v="plopez@my.yearupunited.org"/>
    <x v="10"/>
    <x v="3"/>
    <x v="3"/>
    <x v="0"/>
    <x v="2"/>
    <x v="2"/>
    <s v="the coffee with the thing"/>
    <n v="2"/>
    <x v="2"/>
    <s v="make everything cheaper"/>
  </r>
  <r>
    <n v="12"/>
    <d v="2026-04-09T13:57:50"/>
    <d v="2026-04-09T13:58:21"/>
    <d v="1899-12-30T00:00:31"/>
    <s v="wpoindexter@my.yearupunited.org"/>
    <x v="11"/>
    <x v="1"/>
    <x v="0"/>
    <x v="0"/>
    <x v="0"/>
    <x v="2"/>
    <s v="Vanilla Matcha "/>
    <n v="3"/>
    <x v="0"/>
    <m/>
  </r>
  <r>
    <n v="13"/>
    <d v="2026-04-09T14:00:34"/>
    <d v="2026-04-09T14:01:27"/>
    <d v="1899-12-30T00:00:53"/>
    <s v="gmutize@my.yearupunited.org"/>
    <x v="12"/>
    <x v="0"/>
    <x v="0"/>
    <x v="0"/>
    <x v="0"/>
    <x v="2"/>
    <s v="Latte"/>
    <n v="5"/>
    <x v="0"/>
    <s v="Speed of Service"/>
  </r>
  <r>
    <n v="14"/>
    <d v="2026-04-09T14:00:43"/>
    <d v="2026-04-09T14:01:45"/>
    <d v="1899-12-30T00:01:02"/>
    <s v="arollins@my.yearupunited.org"/>
    <x v="13"/>
    <x v="2"/>
    <x v="1"/>
    <x v="3"/>
    <x v="2"/>
    <x v="1"/>
    <s v="Egg &amp; Turkey Bacon Sandwich"/>
    <n v="3"/>
    <x v="1"/>
    <m/>
  </r>
  <r>
    <n v="15"/>
    <d v="2026-04-09T14:27:57"/>
    <d v="2026-04-09T14:33:23"/>
    <d v="1899-12-30T00:05:27"/>
    <s v="lpham1@my.yearupunited.org"/>
    <x v="14"/>
    <x v="2"/>
    <x v="1"/>
    <x v="0"/>
    <x v="3"/>
    <x v="3"/>
    <m/>
    <m/>
    <x v="3"/>
    <m/>
  </r>
  <r>
    <n v="16"/>
    <d v="2026-04-09T16:24:39"/>
    <d v="2026-04-09T16:27:35"/>
    <d v="1899-12-30T00:02:56"/>
    <s v="pmartinez@my.yearupunited.org"/>
    <x v="15"/>
    <x v="2"/>
    <x v="3"/>
    <x v="1"/>
    <x v="1"/>
    <x v="1"/>
    <s v="Matcha Frap "/>
    <n v="2"/>
    <x v="0"/>
    <s v="more lounge areas, daily specials, and affordable mixed drinks options"/>
  </r>
  <r>
    <n v="17"/>
    <d v="2026-04-09T16:28:32"/>
    <d v="2026-04-09T16:37:10"/>
    <d v="1899-12-30T00:08:38"/>
    <s v="ssimsek@my.yearupunited.org"/>
    <x v="16"/>
    <x v="0"/>
    <x v="3"/>
    <x v="3"/>
    <x v="0"/>
    <x v="4"/>
    <s v="Iced lavender latte"/>
    <n v="2"/>
    <x v="0"/>
    <s v="Prices are too high maybe some customizations would be cheaper"/>
  </r>
  <r>
    <n v="18"/>
    <d v="2026-04-09T13:44:42"/>
    <d v="2026-04-09T17:09:00"/>
    <d v="1899-12-30T03:24:18"/>
    <s v="mruiz3@my.yearupunited.org"/>
    <x v="17"/>
    <x v="1"/>
    <x v="0"/>
    <x v="1"/>
    <x v="2"/>
    <x v="3"/>
    <s v="macchiato"/>
    <n v="3"/>
    <x v="1"/>
    <s v="Lower prices"/>
  </r>
  <r>
    <n v="19"/>
    <d v="2026-04-09T17:53:39"/>
    <d v="2026-04-09T17:54:25"/>
    <d v="1899-12-30T00:00:46"/>
    <s v="jnavarroservin@my.yearupunited.org"/>
    <x v="18"/>
    <x v="2"/>
    <x v="0"/>
    <x v="2"/>
    <x v="0"/>
    <x v="1"/>
    <s v="Strawberry Acai Lemonade"/>
    <n v="5"/>
    <x v="1"/>
    <s v="More rewards"/>
  </r>
  <r>
    <n v="20"/>
    <d v="2026-04-10T10:14:29"/>
    <d v="2026-04-10T10:15:35"/>
    <d v="1899-12-30T00:01:07"/>
    <s v="rmengesha@my.yearupunited.org"/>
    <x v="19"/>
    <x v="1"/>
    <x v="1"/>
    <x v="0"/>
    <x v="0"/>
    <x v="2"/>
    <s v="Blonde roast brew "/>
    <n v="4"/>
    <x v="0"/>
    <s v="wait time "/>
  </r>
  <r>
    <n v="21"/>
    <d v="2026-04-10T13:10:06"/>
    <d v="2026-04-10T13:14:58"/>
    <d v="1899-12-30T00:04:52"/>
    <s v="aosorio@my.yearupunited.org"/>
    <x v="20"/>
    <x v="3"/>
    <x v="2"/>
    <x v="1"/>
    <x v="2"/>
    <x v="1"/>
    <s v="Iced Mocha Frappuccino "/>
    <n v="3"/>
    <x v="4"/>
    <s v="Better employee engagement"/>
  </r>
  <r>
    <n v="22"/>
    <d v="2026-04-10T14:50:57"/>
    <d v="2026-04-10T14:54:54"/>
    <d v="1899-12-30T00:03:57"/>
    <s v="sbowens@my.yearupunited.org"/>
    <x v="21"/>
    <x v="2"/>
    <x v="1"/>
    <x v="0"/>
    <x v="0"/>
    <x v="2"/>
    <s v="Iced Caramel Macchiato"/>
    <n v="3"/>
    <x v="1"/>
    <s v="Price could be lowered a litt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1751A-BC3C-764E-AD12-C2579582D2B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9" firstHeaderRow="0" firstDataRow="1" firstDataCol="1"/>
  <pivotFields count="15">
    <pivotField showAll="0"/>
    <pivotField numFmtId="164" showAll="0"/>
    <pivotField numFmtId="165" showAll="0"/>
    <pivotField numFmtId="45" showAll="0"/>
    <pivotField showAll="0"/>
    <pivotField dataField="1" showAll="0">
      <items count="23">
        <item x="20"/>
        <item x="4"/>
        <item x="13"/>
        <item x="1"/>
        <item x="3"/>
        <item x="0"/>
        <item x="12"/>
        <item x="18"/>
        <item x="2"/>
        <item x="6"/>
        <item x="5"/>
        <item x="14"/>
        <item x="17"/>
        <item x="8"/>
        <item x="9"/>
        <item x="15"/>
        <item x="10"/>
        <item x="19"/>
        <item x="21"/>
        <item x="16"/>
        <item x="7"/>
        <item x="1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6">
        <item x="0"/>
        <item x="2"/>
        <item x="4"/>
        <item x="1"/>
        <item x="3"/>
        <item t="default"/>
      </items>
    </pivotField>
    <pivotField showAll="0"/>
    <pivotField dataField="1"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w satisfied are you with the pricing and value for money at Starbucks?" fld="12" baseField="0" baseItem="0"/>
    <dataField name="Count of Name" fld="5" subtotal="count" baseField="0" baseItem="0"/>
  </dataFields>
  <chartFormats count="12">
    <chartFormat chart="0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1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3166-DDB0-1446-BDFB-A7FA73515FC3}">
  <dimension ref="A1:O27"/>
  <sheetViews>
    <sheetView tabSelected="1" zoomScale="85" zoomScaleNormal="151" workbookViewId="0">
      <selection sqref="A1:O23"/>
    </sheetView>
  </sheetViews>
  <sheetFormatPr baseColWidth="10" defaultRowHeight="16" x14ac:dyDescent="0.2"/>
  <cols>
    <col min="1" max="1" width="13.5" customWidth="1"/>
    <col min="2" max="3" width="27.33203125" customWidth="1"/>
    <col min="4" max="4" width="16" style="14" customWidth="1"/>
    <col min="5" max="5" width="30.6640625" customWidth="1"/>
    <col min="6" max="7" width="27.33203125" customWidth="1"/>
    <col min="8" max="8" width="46" customWidth="1"/>
    <col min="9" max="9" width="27.33203125" customWidth="1"/>
    <col min="10" max="10" width="37.1640625" customWidth="1"/>
    <col min="11" max="11" width="32" customWidth="1"/>
    <col min="12" max="12" width="36.6640625" customWidth="1"/>
    <col min="13" max="13" width="56.6640625" customWidth="1"/>
    <col min="14" max="14" width="27.33203125" customWidth="1"/>
    <col min="15" max="15" width="55.5" customWidth="1"/>
    <col min="16" max="18" width="27.33203125" customWidth="1"/>
  </cols>
  <sheetData>
    <row r="1" spans="1:15" ht="45" customHeight="1" x14ac:dyDescent="0.2">
      <c r="A1" s="1" t="s">
        <v>2</v>
      </c>
      <c r="B1" s="1" t="s">
        <v>0</v>
      </c>
      <c r="C1" s="1" t="s">
        <v>1</v>
      </c>
      <c r="D1" s="15" t="s">
        <v>111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</row>
    <row r="2" spans="1:15" x14ac:dyDescent="0.2">
      <c r="A2" s="3">
        <v>1</v>
      </c>
      <c r="B2" s="9">
        <v>46121.564989999999</v>
      </c>
      <c r="C2" s="11">
        <v>46121.565210000001</v>
      </c>
      <c r="D2" s="16">
        <f>C2-B2</f>
        <v>2.2000000171829015E-4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5">
        <v>5</v>
      </c>
      <c r="N2" s="7">
        <v>5</v>
      </c>
      <c r="O2" s="3"/>
    </row>
    <row r="3" spans="1:15" x14ac:dyDescent="0.2">
      <c r="A3" s="4">
        <v>2</v>
      </c>
      <c r="B3" s="10">
        <v>46121.564030000001</v>
      </c>
      <c r="C3" s="12">
        <v>46121.565649999997</v>
      </c>
      <c r="D3" s="16">
        <f t="shared" ref="D3:D23" si="0">C3-B3</f>
        <v>1.6199999954551458E-3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18</v>
      </c>
      <c r="J3" s="4" t="s">
        <v>19</v>
      </c>
      <c r="K3" s="4" t="s">
        <v>26</v>
      </c>
      <c r="L3" s="4" t="s">
        <v>27</v>
      </c>
      <c r="M3" s="6">
        <v>2</v>
      </c>
      <c r="N3" s="8">
        <v>4</v>
      </c>
      <c r="O3" s="4" t="s">
        <v>28</v>
      </c>
    </row>
    <row r="4" spans="1:15" x14ac:dyDescent="0.2">
      <c r="A4" s="3">
        <v>3</v>
      </c>
      <c r="B4" s="9">
        <v>46121.565369999997</v>
      </c>
      <c r="C4" s="11">
        <v>46121.566010000002</v>
      </c>
      <c r="D4" s="16">
        <f t="shared" si="0"/>
        <v>6.4000000566011295E-4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18</v>
      </c>
      <c r="J4" s="3" t="s">
        <v>19</v>
      </c>
      <c r="K4" s="3" t="s">
        <v>26</v>
      </c>
      <c r="L4" s="3" t="s">
        <v>33</v>
      </c>
      <c r="M4" s="5">
        <v>2</v>
      </c>
      <c r="N4" s="7">
        <v>3</v>
      </c>
      <c r="O4" s="3" t="s">
        <v>34</v>
      </c>
    </row>
    <row r="5" spans="1:15" x14ac:dyDescent="0.2">
      <c r="A5" s="4">
        <v>4</v>
      </c>
      <c r="B5" s="10">
        <v>46121.568611111114</v>
      </c>
      <c r="C5" s="12">
        <v>46121.568939999997</v>
      </c>
      <c r="D5" s="16">
        <f t="shared" si="0"/>
        <v>3.2888888381421566E-4</v>
      </c>
      <c r="E5" s="4" t="s">
        <v>35</v>
      </c>
      <c r="F5" s="4" t="s">
        <v>36</v>
      </c>
      <c r="G5" s="4" t="s">
        <v>24</v>
      </c>
      <c r="H5" s="4" t="s">
        <v>37</v>
      </c>
      <c r="I5" s="4" t="s">
        <v>18</v>
      </c>
      <c r="J5" s="4" t="s">
        <v>38</v>
      </c>
      <c r="K5" s="4" t="s">
        <v>26</v>
      </c>
      <c r="L5" s="4" t="s">
        <v>39</v>
      </c>
      <c r="M5" s="6">
        <v>4</v>
      </c>
      <c r="N5" s="8">
        <v>5</v>
      </c>
      <c r="O5" s="4"/>
    </row>
    <row r="6" spans="1:15" x14ac:dyDescent="0.2">
      <c r="A6" s="3">
        <v>5</v>
      </c>
      <c r="B6" s="9">
        <v>46121.569409999996</v>
      </c>
      <c r="C6" s="11">
        <v>46121.57028</v>
      </c>
      <c r="D6" s="16">
        <f t="shared" si="0"/>
        <v>8.7000000348780304E-4</v>
      </c>
      <c r="E6" s="3" t="s">
        <v>40</v>
      </c>
      <c r="F6" s="3" t="s">
        <v>41</v>
      </c>
      <c r="G6" s="3" t="s">
        <v>16</v>
      </c>
      <c r="H6" s="3" t="s">
        <v>25</v>
      </c>
      <c r="I6" s="3" t="s">
        <v>42</v>
      </c>
      <c r="J6" s="3" t="s">
        <v>19</v>
      </c>
      <c r="K6" s="3" t="s">
        <v>26</v>
      </c>
      <c r="L6" s="3" t="s">
        <v>43</v>
      </c>
      <c r="M6" s="5">
        <v>3</v>
      </c>
      <c r="N6" s="7">
        <v>3</v>
      </c>
      <c r="O6" s="3" t="s">
        <v>44</v>
      </c>
    </row>
    <row r="7" spans="1:15" x14ac:dyDescent="0.2">
      <c r="A7" s="4">
        <v>6</v>
      </c>
      <c r="B7" s="10">
        <v>46121.56581</v>
      </c>
      <c r="C7" s="12">
        <v>46121.570540000001</v>
      </c>
      <c r="D7" s="16">
        <f t="shared" si="0"/>
        <v>4.7300000005634502E-3</v>
      </c>
      <c r="E7" s="4" t="s">
        <v>45</v>
      </c>
      <c r="F7" s="4" t="s">
        <v>46</v>
      </c>
      <c r="G7" s="4" t="s">
        <v>24</v>
      </c>
      <c r="H7" s="4" t="s">
        <v>17</v>
      </c>
      <c r="I7" s="4" t="s">
        <v>47</v>
      </c>
      <c r="J7" s="4" t="s">
        <v>19</v>
      </c>
      <c r="K7" s="4" t="s">
        <v>26</v>
      </c>
      <c r="L7" s="4" t="s">
        <v>48</v>
      </c>
      <c r="M7" s="6">
        <v>3</v>
      </c>
      <c r="N7" s="8">
        <v>5</v>
      </c>
      <c r="O7" s="4" t="s">
        <v>49</v>
      </c>
    </row>
    <row r="8" spans="1:15" x14ac:dyDescent="0.2">
      <c r="A8" s="3">
        <v>7</v>
      </c>
      <c r="B8" s="9">
        <v>46121.572650000002</v>
      </c>
      <c r="C8" s="11">
        <v>46121.573279999997</v>
      </c>
      <c r="D8" s="16">
        <f t="shared" si="0"/>
        <v>6.2999999499879777E-4</v>
      </c>
      <c r="E8" s="3" t="s">
        <v>50</v>
      </c>
      <c r="F8" s="3" t="s">
        <v>51</v>
      </c>
      <c r="G8" s="3" t="s">
        <v>24</v>
      </c>
      <c r="H8" s="3" t="s">
        <v>37</v>
      </c>
      <c r="I8" s="3" t="s">
        <v>18</v>
      </c>
      <c r="J8" s="3" t="s">
        <v>19</v>
      </c>
      <c r="K8" s="3" t="s">
        <v>52</v>
      </c>
      <c r="L8" s="3" t="s">
        <v>53</v>
      </c>
      <c r="M8" s="5">
        <v>5</v>
      </c>
      <c r="N8" s="7">
        <v>4</v>
      </c>
      <c r="O8" s="3"/>
    </row>
    <row r="9" spans="1:15" x14ac:dyDescent="0.2">
      <c r="A9" s="4">
        <v>8</v>
      </c>
      <c r="B9" s="10">
        <v>46121.571539999997</v>
      </c>
      <c r="C9" s="12">
        <v>46121.57402</v>
      </c>
      <c r="D9" s="16">
        <f t="shared" si="0"/>
        <v>2.4800000028335489E-3</v>
      </c>
      <c r="E9" s="4" t="s">
        <v>54</v>
      </c>
      <c r="F9" s="4" t="s">
        <v>55</v>
      </c>
      <c r="G9" s="4" t="s">
        <v>31</v>
      </c>
      <c r="H9" s="4" t="s">
        <v>25</v>
      </c>
      <c r="I9" s="4" t="s">
        <v>42</v>
      </c>
      <c r="J9" s="4" t="s">
        <v>38</v>
      </c>
      <c r="K9" s="4" t="s">
        <v>26</v>
      </c>
      <c r="L9" s="4" t="s">
        <v>56</v>
      </c>
      <c r="M9" s="6">
        <v>2</v>
      </c>
      <c r="N9" s="8">
        <v>4</v>
      </c>
      <c r="O9" s="4" t="s">
        <v>57</v>
      </c>
    </row>
    <row r="10" spans="1:15" x14ac:dyDescent="0.2">
      <c r="A10" s="3">
        <v>9</v>
      </c>
      <c r="B10" s="9">
        <v>46121.574330000003</v>
      </c>
      <c r="C10" s="11">
        <v>46121.574569999997</v>
      </c>
      <c r="D10" s="16">
        <f t="shared" si="0"/>
        <v>2.3999999393709004E-4</v>
      </c>
      <c r="E10" s="3" t="s">
        <v>58</v>
      </c>
      <c r="F10" s="3" t="s">
        <v>59</v>
      </c>
      <c r="G10" s="3" t="s">
        <v>16</v>
      </c>
      <c r="H10" s="3" t="s">
        <v>17</v>
      </c>
      <c r="I10" s="3" t="s">
        <v>18</v>
      </c>
      <c r="J10" s="3" t="s">
        <v>19</v>
      </c>
      <c r="K10" s="3" t="s">
        <v>26</v>
      </c>
      <c r="L10" s="3"/>
      <c r="M10" s="5">
        <v>5</v>
      </c>
      <c r="N10" s="7">
        <v>5</v>
      </c>
      <c r="O10" s="3"/>
    </row>
    <row r="11" spans="1:15" x14ac:dyDescent="0.2">
      <c r="A11" s="4">
        <v>10</v>
      </c>
      <c r="B11" s="10">
        <v>46121.577559999998</v>
      </c>
      <c r="C11" s="12">
        <v>46121.578329999997</v>
      </c>
      <c r="D11" s="16">
        <f t="shared" si="0"/>
        <v>7.6999999873805791E-4</v>
      </c>
      <c r="E11" s="4" t="s">
        <v>60</v>
      </c>
      <c r="F11" s="4" t="s">
        <v>61</v>
      </c>
      <c r="G11" s="4" t="s">
        <v>24</v>
      </c>
      <c r="H11" s="4" t="s">
        <v>37</v>
      </c>
      <c r="I11" s="4" t="s">
        <v>18</v>
      </c>
      <c r="J11" s="4" t="s">
        <v>38</v>
      </c>
      <c r="K11" s="4" t="s">
        <v>26</v>
      </c>
      <c r="L11" s="4" t="s">
        <v>33</v>
      </c>
      <c r="M11" s="6">
        <v>4</v>
      </c>
      <c r="N11" s="8">
        <v>4</v>
      </c>
      <c r="O11" s="4" t="s">
        <v>62</v>
      </c>
    </row>
    <row r="12" spans="1:15" x14ac:dyDescent="0.2">
      <c r="A12" s="3">
        <v>11</v>
      </c>
      <c r="B12" s="9">
        <v>46121.578529999999</v>
      </c>
      <c r="C12" s="11">
        <v>46121.581230000003</v>
      </c>
      <c r="D12" s="16">
        <f t="shared" si="0"/>
        <v>2.7000000045518391E-3</v>
      </c>
      <c r="E12" s="3" t="s">
        <v>63</v>
      </c>
      <c r="F12" s="3" t="s">
        <v>64</v>
      </c>
      <c r="G12" s="3" t="s">
        <v>65</v>
      </c>
      <c r="H12" s="3" t="s">
        <v>37</v>
      </c>
      <c r="I12" s="3" t="s">
        <v>18</v>
      </c>
      <c r="J12" s="3" t="s">
        <v>66</v>
      </c>
      <c r="K12" s="3" t="s">
        <v>52</v>
      </c>
      <c r="L12" s="3" t="s">
        <v>67</v>
      </c>
      <c r="M12" s="5">
        <v>2</v>
      </c>
      <c r="N12" s="7">
        <v>3</v>
      </c>
      <c r="O12" s="3" t="s">
        <v>68</v>
      </c>
    </row>
    <row r="13" spans="1:15" x14ac:dyDescent="0.2">
      <c r="A13" s="4">
        <v>12</v>
      </c>
      <c r="B13" s="10">
        <v>46121.581830000003</v>
      </c>
      <c r="C13" s="12">
        <v>46121.582190000001</v>
      </c>
      <c r="D13" s="16">
        <f t="shared" si="0"/>
        <v>3.5999999818159267E-4</v>
      </c>
      <c r="E13" s="4" t="s">
        <v>69</v>
      </c>
      <c r="F13" s="4" t="s">
        <v>70</v>
      </c>
      <c r="G13" s="4" t="s">
        <v>24</v>
      </c>
      <c r="H13" s="4" t="s">
        <v>17</v>
      </c>
      <c r="I13" s="4" t="s">
        <v>18</v>
      </c>
      <c r="J13" s="4" t="s">
        <v>19</v>
      </c>
      <c r="K13" s="4" t="s">
        <v>52</v>
      </c>
      <c r="L13" s="4" t="s">
        <v>71</v>
      </c>
      <c r="M13" s="6">
        <v>3</v>
      </c>
      <c r="N13" s="8">
        <v>5</v>
      </c>
      <c r="O13" s="4"/>
    </row>
    <row r="14" spans="1:15" x14ac:dyDescent="0.2">
      <c r="A14" s="3">
        <v>13</v>
      </c>
      <c r="B14" s="9">
        <v>46121.583729999998</v>
      </c>
      <c r="C14" s="11">
        <v>46121.584340000001</v>
      </c>
      <c r="D14" s="16">
        <f t="shared" si="0"/>
        <v>6.1000000277999789E-4</v>
      </c>
      <c r="E14" s="3" t="s">
        <v>72</v>
      </c>
      <c r="F14" s="3" t="s">
        <v>73</v>
      </c>
      <c r="G14" s="3" t="s">
        <v>16</v>
      </c>
      <c r="H14" s="3" t="s">
        <v>17</v>
      </c>
      <c r="I14" s="3" t="s">
        <v>18</v>
      </c>
      <c r="J14" s="3" t="s">
        <v>19</v>
      </c>
      <c r="K14" s="3" t="s">
        <v>52</v>
      </c>
      <c r="L14" s="3" t="s">
        <v>74</v>
      </c>
      <c r="M14" s="5">
        <v>5</v>
      </c>
      <c r="N14" s="7">
        <v>5</v>
      </c>
      <c r="O14" s="3" t="s">
        <v>75</v>
      </c>
    </row>
    <row r="15" spans="1:15" x14ac:dyDescent="0.2">
      <c r="A15" s="4">
        <v>14</v>
      </c>
      <c r="B15" s="10">
        <v>46121.583830000003</v>
      </c>
      <c r="C15" s="12">
        <v>46121.58455</v>
      </c>
      <c r="D15" s="16">
        <f t="shared" si="0"/>
        <v>7.1999999636318535E-4</v>
      </c>
      <c r="E15" s="4" t="s">
        <v>76</v>
      </c>
      <c r="F15" s="4" t="s">
        <v>77</v>
      </c>
      <c r="G15" s="4" t="s">
        <v>31</v>
      </c>
      <c r="H15" s="4" t="s">
        <v>25</v>
      </c>
      <c r="I15" s="4" t="s">
        <v>78</v>
      </c>
      <c r="J15" s="4" t="s">
        <v>66</v>
      </c>
      <c r="K15" s="4" t="s">
        <v>26</v>
      </c>
      <c r="L15" s="4" t="s">
        <v>79</v>
      </c>
      <c r="M15" s="6">
        <v>3</v>
      </c>
      <c r="N15" s="8">
        <v>4</v>
      </c>
      <c r="O15" s="4"/>
    </row>
    <row r="16" spans="1:15" x14ac:dyDescent="0.2">
      <c r="A16" s="3">
        <v>15</v>
      </c>
      <c r="B16" s="9">
        <v>46121.602740000002</v>
      </c>
      <c r="C16" s="11">
        <v>46121.606520000001</v>
      </c>
      <c r="D16" s="16">
        <f t="shared" si="0"/>
        <v>3.7799999990966171E-3</v>
      </c>
      <c r="E16" s="3" t="s">
        <v>80</v>
      </c>
      <c r="F16" s="3" t="s">
        <v>81</v>
      </c>
      <c r="G16" s="3" t="s">
        <v>31</v>
      </c>
      <c r="H16" s="3" t="s">
        <v>25</v>
      </c>
      <c r="I16" s="3" t="s">
        <v>18</v>
      </c>
      <c r="J16" s="3"/>
      <c r="K16" s="3"/>
      <c r="L16" s="3"/>
      <c r="M16" s="5"/>
      <c r="N16" s="7"/>
      <c r="O16" s="3"/>
    </row>
    <row r="17" spans="1:15" x14ac:dyDescent="0.2">
      <c r="A17" s="4">
        <v>16</v>
      </c>
      <c r="B17" s="10">
        <v>46121.683779999999</v>
      </c>
      <c r="C17" s="12">
        <v>46121.685819999999</v>
      </c>
      <c r="D17" s="16">
        <f t="shared" si="0"/>
        <v>2.0399999993969686E-3</v>
      </c>
      <c r="E17" s="4" t="s">
        <v>82</v>
      </c>
      <c r="F17" s="4" t="s">
        <v>83</v>
      </c>
      <c r="G17" s="4" t="s">
        <v>31</v>
      </c>
      <c r="H17" s="4" t="s">
        <v>37</v>
      </c>
      <c r="I17" s="4" t="s">
        <v>42</v>
      </c>
      <c r="J17" s="4" t="s">
        <v>38</v>
      </c>
      <c r="K17" s="4" t="s">
        <v>26</v>
      </c>
      <c r="L17" s="4" t="s">
        <v>84</v>
      </c>
      <c r="M17" s="6">
        <v>2</v>
      </c>
      <c r="N17" s="8">
        <v>5</v>
      </c>
      <c r="O17" s="4" t="s">
        <v>85</v>
      </c>
    </row>
    <row r="18" spans="1:15" x14ac:dyDescent="0.2">
      <c r="A18" s="3">
        <v>17</v>
      </c>
      <c r="B18" s="9">
        <v>46121.686479999997</v>
      </c>
      <c r="C18" s="11">
        <v>46121.692479999998</v>
      </c>
      <c r="D18" s="16">
        <f t="shared" si="0"/>
        <v>6.0000000012223609E-3</v>
      </c>
      <c r="E18" s="3" t="s">
        <v>86</v>
      </c>
      <c r="F18" s="3" t="s">
        <v>87</v>
      </c>
      <c r="G18" s="3" t="s">
        <v>16</v>
      </c>
      <c r="H18" s="3" t="s">
        <v>37</v>
      </c>
      <c r="I18" s="3" t="s">
        <v>78</v>
      </c>
      <c r="J18" s="3" t="s">
        <v>19</v>
      </c>
      <c r="K18" s="3" t="s">
        <v>88</v>
      </c>
      <c r="L18" s="3" t="s">
        <v>89</v>
      </c>
      <c r="M18" s="5">
        <v>2</v>
      </c>
      <c r="N18" s="7">
        <v>5</v>
      </c>
      <c r="O18" s="3" t="s">
        <v>90</v>
      </c>
    </row>
    <row r="19" spans="1:15" x14ac:dyDescent="0.2">
      <c r="A19" s="4">
        <v>18</v>
      </c>
      <c r="B19" s="10">
        <v>46121.57271</v>
      </c>
      <c r="C19" s="12">
        <v>46121.71458</v>
      </c>
      <c r="D19" s="16">
        <f t="shared" si="0"/>
        <v>0.14186999999947147</v>
      </c>
      <c r="E19" s="4" t="s">
        <v>91</v>
      </c>
      <c r="F19" s="4" t="s">
        <v>92</v>
      </c>
      <c r="G19" s="4" t="s">
        <v>24</v>
      </c>
      <c r="H19" s="4" t="s">
        <v>17</v>
      </c>
      <c r="I19" s="4" t="s">
        <v>42</v>
      </c>
      <c r="J19" s="4" t="s">
        <v>66</v>
      </c>
      <c r="K19" s="4"/>
      <c r="L19" s="4" t="s">
        <v>93</v>
      </c>
      <c r="M19" s="6">
        <v>3</v>
      </c>
      <c r="N19" s="8">
        <v>4</v>
      </c>
      <c r="O19" s="4" t="s">
        <v>94</v>
      </c>
    </row>
    <row r="20" spans="1:15" x14ac:dyDescent="0.2">
      <c r="A20" s="3">
        <v>19</v>
      </c>
      <c r="B20" s="9">
        <v>46121.745589999999</v>
      </c>
      <c r="C20" s="11">
        <v>46121.746120000003</v>
      </c>
      <c r="D20" s="16">
        <f t="shared" si="0"/>
        <v>5.3000000480096787E-4</v>
      </c>
      <c r="E20" s="3" t="s">
        <v>95</v>
      </c>
      <c r="F20" s="3" t="s">
        <v>96</v>
      </c>
      <c r="G20" s="3" t="s">
        <v>31</v>
      </c>
      <c r="H20" s="3" t="s">
        <v>17</v>
      </c>
      <c r="I20" s="3" t="s">
        <v>47</v>
      </c>
      <c r="J20" s="3" t="s">
        <v>19</v>
      </c>
      <c r="K20" s="3" t="s">
        <v>26</v>
      </c>
      <c r="L20" s="3" t="s">
        <v>97</v>
      </c>
      <c r="M20" s="5">
        <v>5</v>
      </c>
      <c r="N20" s="7">
        <v>4</v>
      </c>
      <c r="O20" s="3" t="s">
        <v>98</v>
      </c>
    </row>
    <row r="21" spans="1:15" x14ac:dyDescent="0.2">
      <c r="A21" s="4">
        <v>20</v>
      </c>
      <c r="B21" s="10">
        <v>46122.426720000003</v>
      </c>
      <c r="C21" s="12">
        <v>46122.427490000002</v>
      </c>
      <c r="D21" s="16">
        <f t="shared" si="0"/>
        <v>7.6999999873805791E-4</v>
      </c>
      <c r="E21" s="4" t="s">
        <v>99</v>
      </c>
      <c r="F21" s="4" t="s">
        <v>110</v>
      </c>
      <c r="G21" s="4" t="s">
        <v>24</v>
      </c>
      <c r="H21" s="4" t="s">
        <v>25</v>
      </c>
      <c r="I21" s="4" t="s">
        <v>18</v>
      </c>
      <c r="J21" s="4" t="s">
        <v>19</v>
      </c>
      <c r="K21" s="4" t="s">
        <v>52</v>
      </c>
      <c r="L21" s="4" t="s">
        <v>100</v>
      </c>
      <c r="M21" s="6">
        <v>4</v>
      </c>
      <c r="N21" s="8">
        <v>5</v>
      </c>
      <c r="O21" s="4" t="s">
        <v>101</v>
      </c>
    </row>
    <row r="22" spans="1:15" x14ac:dyDescent="0.2">
      <c r="A22" s="3">
        <v>21</v>
      </c>
      <c r="B22" s="9">
        <v>46122.54868</v>
      </c>
      <c r="C22" s="11">
        <v>46122.552060000002</v>
      </c>
      <c r="D22" s="16">
        <f t="shared" si="0"/>
        <v>3.3800000019255094E-3</v>
      </c>
      <c r="E22" s="3" t="s">
        <v>102</v>
      </c>
      <c r="F22" s="3" t="s">
        <v>103</v>
      </c>
      <c r="G22" s="3" t="s">
        <v>65</v>
      </c>
      <c r="H22" s="3" t="s">
        <v>32</v>
      </c>
      <c r="I22" s="3" t="s">
        <v>42</v>
      </c>
      <c r="J22" s="3" t="s">
        <v>66</v>
      </c>
      <c r="K22" s="3" t="s">
        <v>26</v>
      </c>
      <c r="L22" s="3" t="s">
        <v>104</v>
      </c>
      <c r="M22" s="5">
        <v>3</v>
      </c>
      <c r="N22" s="7">
        <v>2</v>
      </c>
      <c r="O22" s="3" t="s">
        <v>105</v>
      </c>
    </row>
    <row r="23" spans="1:15" x14ac:dyDescent="0.2">
      <c r="A23" s="4">
        <v>22</v>
      </c>
      <c r="B23" s="10">
        <v>46122.618719999999</v>
      </c>
      <c r="C23" s="12">
        <v>46122.621460000002</v>
      </c>
      <c r="D23" s="16">
        <f t="shared" si="0"/>
        <v>2.7400000035413541E-3</v>
      </c>
      <c r="E23" s="4" t="s">
        <v>106</v>
      </c>
      <c r="F23" s="4" t="s">
        <v>107</v>
      </c>
      <c r="G23" s="4" t="s">
        <v>31</v>
      </c>
      <c r="H23" s="4" t="s">
        <v>25</v>
      </c>
      <c r="I23" s="4" t="s">
        <v>18</v>
      </c>
      <c r="J23" s="4" t="s">
        <v>19</v>
      </c>
      <c r="K23" s="4" t="s">
        <v>52</v>
      </c>
      <c r="L23" s="4" t="s">
        <v>108</v>
      </c>
      <c r="M23" s="6">
        <v>3</v>
      </c>
      <c r="N23" s="8">
        <v>4</v>
      </c>
      <c r="O23" s="4" t="s">
        <v>109</v>
      </c>
    </row>
    <row r="24" spans="1:15" x14ac:dyDescent="0.2">
      <c r="C24" s="13"/>
      <c r="D24" s="17">
        <f>AVERAGE(D2:D23)</f>
        <v>8.0922222223307472E-3</v>
      </c>
      <c r="H24" s="18">
        <f>COUNTIF(H2:H23, "Excellent")</f>
        <v>7</v>
      </c>
      <c r="I24" s="18">
        <f>COUNTIF(I2:I23,"coffee (hot or iced)")</f>
        <v>13</v>
      </c>
      <c r="J24" s="18">
        <f>COUNTIF(J2:J23,"Yes")</f>
        <v>13</v>
      </c>
      <c r="M24">
        <f>ROUND(AVERAGE(M2:M23), 1)</f>
        <v>3.3</v>
      </c>
    </row>
    <row r="25" spans="1:15" x14ac:dyDescent="0.2">
      <c r="C25" s="10"/>
      <c r="D25" s="14" t="s">
        <v>37</v>
      </c>
      <c r="H25" t="s">
        <v>112</v>
      </c>
      <c r="I25" t="s">
        <v>112</v>
      </c>
      <c r="J25" s="18" t="s">
        <v>113</v>
      </c>
    </row>
    <row r="26" spans="1:15" x14ac:dyDescent="0.2">
      <c r="J26" s="18">
        <f>COUNTIF(J2:J23,"Maybe")</f>
        <v>4</v>
      </c>
    </row>
    <row r="27" spans="1:15" x14ac:dyDescent="0.2">
      <c r="J27" s="18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2FD6-BD8F-0743-986D-9569B72DC847}">
  <dimension ref="A3:C9"/>
  <sheetViews>
    <sheetView workbookViewId="0">
      <selection activeCell="B24" sqref="B24"/>
    </sheetView>
  </sheetViews>
  <sheetFormatPr baseColWidth="10" defaultRowHeight="16" x14ac:dyDescent="0.2"/>
  <cols>
    <col min="1" max="1" width="13" bestFit="1" customWidth="1"/>
    <col min="2" max="2" width="67.33203125" bestFit="1" customWidth="1"/>
    <col min="3" max="3" width="13.5" bestFit="1" customWidth="1"/>
    <col min="4" max="4" width="25" bestFit="1" customWidth="1"/>
    <col min="5" max="5" width="4" bestFit="1" customWidth="1"/>
    <col min="6" max="6" width="10.5" bestFit="1" customWidth="1"/>
    <col min="7" max="7" width="18.6640625" bestFit="1" customWidth="1"/>
    <col min="8" max="8" width="21.33203125" bestFit="1" customWidth="1"/>
    <col min="9" max="9" width="31.83203125" bestFit="1" customWidth="1"/>
    <col min="10" max="10" width="25" bestFit="1" customWidth="1"/>
    <col min="11" max="11" width="4" bestFit="1" customWidth="1"/>
    <col min="12" max="12" width="23.83203125" bestFit="1" customWidth="1"/>
    <col min="13" max="13" width="17.1640625" bestFit="1" customWidth="1"/>
    <col min="14" max="14" width="25" bestFit="1" customWidth="1"/>
    <col min="15" max="15" width="11.33203125" bestFit="1" customWidth="1"/>
    <col min="16" max="17" width="10.5" bestFit="1" customWidth="1"/>
  </cols>
  <sheetData>
    <row r="3" spans="1:3" x14ac:dyDescent="0.2">
      <c r="A3" s="19" t="s">
        <v>115</v>
      </c>
      <c r="B3" t="s">
        <v>119</v>
      </c>
      <c r="C3" t="s">
        <v>117</v>
      </c>
    </row>
    <row r="4" spans="1:3" x14ac:dyDescent="0.2">
      <c r="A4" s="18">
        <v>2</v>
      </c>
      <c r="B4">
        <v>3</v>
      </c>
      <c r="C4">
        <v>1</v>
      </c>
    </row>
    <row r="5" spans="1:3" x14ac:dyDescent="0.2">
      <c r="A5" s="18">
        <v>3</v>
      </c>
      <c r="B5">
        <v>7</v>
      </c>
      <c r="C5">
        <v>3</v>
      </c>
    </row>
    <row r="6" spans="1:3" x14ac:dyDescent="0.2">
      <c r="A6" s="18">
        <v>4</v>
      </c>
      <c r="B6">
        <v>27</v>
      </c>
      <c r="C6">
        <v>8</v>
      </c>
    </row>
    <row r="7" spans="1:3" x14ac:dyDescent="0.2">
      <c r="A7" s="18">
        <v>5</v>
      </c>
      <c r="B7">
        <v>33</v>
      </c>
      <c r="C7">
        <v>9</v>
      </c>
    </row>
    <row r="8" spans="1:3" x14ac:dyDescent="0.2">
      <c r="A8" s="18" t="s">
        <v>118</v>
      </c>
      <c r="C8">
        <v>1</v>
      </c>
    </row>
    <row r="9" spans="1:3" x14ac:dyDescent="0.2">
      <c r="A9" s="18" t="s">
        <v>116</v>
      </c>
      <c r="B9">
        <v>70</v>
      </c>
      <c r="C9">
        <v>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Data</vt:lpstr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2026-04-12T05:07:19Z</dcterms:created>
  <dcterms:modified xsi:type="dcterms:W3CDTF">2026-04-13T02:08:45Z</dcterms:modified>
</cp:coreProperties>
</file>